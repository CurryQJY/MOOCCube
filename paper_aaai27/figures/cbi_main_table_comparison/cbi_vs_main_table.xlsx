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skTop\MOOCCube\paper_aaai27\figures\cbi_main_table_comparison\"/>
    </mc:Choice>
  </mc:AlternateContent>
  <xr:revisionPtr revIDLastSave="0" documentId="13_ncr:1_{C1D62216-B8A6-43B9-BCD9-DB87A206B45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ain_Comparison" sheetId="1" r:id="rId1"/>
    <sheet name="CBI_Deltas" sheetId="2" r:id="rId2"/>
    <sheet name="Seed_Matched" sheetId="3" r:id="rId3"/>
    <sheet name="Full_CBI_Metrics" sheetId="4" r:id="rId4"/>
    <sheet name="Provenance" sheetId="5" r:id="rId5"/>
  </sheets>
  <definedNames>
    <definedName name="_xlnm._FilterDatabase" localSheetId="1" hidden="1">CBI_Deltas!$A$1:$F$9</definedName>
    <definedName name="_xlnm._FilterDatabase" localSheetId="3" hidden="1">Full_CBI_Metrics!$A$1:$C$13</definedName>
    <definedName name="_xlnm._FilterDatabase" localSheetId="0" hidden="1">Main_Comparison!$A$1:$F$14</definedName>
    <definedName name="_xlnm._FilterDatabase" localSheetId="4" hidden="1">Provenance!$A$1:$B$14</definedName>
    <definedName name="_xlnm._FilterDatabase" localSheetId="2" hidden="1">Seed_Matched!$A$1:$F$5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 s="1"/>
  <c r="D4" i="3"/>
  <c r="E4" i="3" s="1"/>
  <c r="E3" i="3"/>
  <c r="D3" i="3"/>
  <c r="E2" i="3"/>
  <c r="D2" i="3"/>
  <c r="E9" i="2"/>
  <c r="D9" i="2"/>
  <c r="D8" i="2"/>
  <c r="E8" i="2" s="1"/>
  <c r="E7" i="2"/>
  <c r="D7" i="2"/>
  <c r="D6" i="2"/>
  <c r="E6" i="2" s="1"/>
  <c r="D5" i="2"/>
  <c r="E5" i="2" s="1"/>
  <c r="D4" i="2"/>
  <c r="E4" i="2" s="1"/>
  <c r="D3" i="2"/>
  <c r="E3" i="2" s="1"/>
  <c r="D2" i="2"/>
  <c r="E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CBI-Faithful minus reference.</t>
        </r>
      </text>
    </comment>
    <comment ref="E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Absolute delta divided by reference.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CBI-Faithful minus reference.</t>
        </r>
      </text>
    </comment>
    <comment ref="E1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Absolute delta divided by reference.</t>
        </r>
      </text>
    </comment>
  </commentList>
</comments>
</file>

<file path=xl/sharedStrings.xml><?xml version="1.0" encoding="utf-8"?>
<sst xmlns="http://schemas.openxmlformats.org/spreadsheetml/2006/main" count="123" uniqueCount="61">
  <si>
    <t>Method</t>
  </si>
  <si>
    <t>Evidence</t>
  </si>
  <si>
    <t>R@5</t>
  </si>
  <si>
    <t>R@10</t>
  </si>
  <si>
    <t>N@5</t>
  </si>
  <si>
    <t>N@10</t>
  </si>
  <si>
    <t>Popularity</t>
  </si>
  <si>
    <t>Paper main table (3-seed mean)</t>
  </si>
  <si>
    <t>BPR</t>
  </si>
  <si>
    <t>DropoutNet</t>
  </si>
  <si>
    <t>LightGCN</t>
  </si>
  <si>
    <t>CCFCRec</t>
  </si>
  <si>
    <t>ALDI</t>
  </si>
  <si>
    <t>KGRec</t>
  </si>
  <si>
    <t>CGRC</t>
  </si>
  <si>
    <t>PCGNN</t>
  </si>
  <si>
    <t>USIM</t>
  </si>
  <si>
    <t>SEMCo</t>
  </si>
  <si>
    <t>CKG-RL</t>
  </si>
  <si>
    <t>CBI-Faithful</t>
  </si>
  <si>
    <t>Seed 2025 single run</t>
  </si>
  <si>
    <t>Metric</t>
  </si>
  <si>
    <t>Reference</t>
  </si>
  <si>
    <t>Absolute Delta</t>
  </si>
  <si>
    <t>Relative Delta</t>
  </si>
  <si>
    <t>Reference Method</t>
  </si>
  <si>
    <t>CKG-RL (paper 3-seed mean)</t>
  </si>
  <si>
    <t>CGRC (strongest paper baseline)</t>
  </si>
  <si>
    <t>CKG-RL (seed 2025, matched)</t>
  </si>
  <si>
    <t>Group</t>
  </si>
  <si>
    <t>Value</t>
  </si>
  <si>
    <t>Cold course-macro</t>
  </si>
  <si>
    <t>R@20</t>
  </si>
  <si>
    <t>N@20</t>
  </si>
  <si>
    <t>Hot course-macro</t>
  </si>
  <si>
    <t>Field</t>
  </si>
  <si>
    <t>Dataset</t>
  </si>
  <si>
    <t>MOOCCube</t>
  </si>
  <si>
    <t>Protocol</t>
  </si>
  <si>
    <t>Strict course-cold, full-catalog ranking</t>
  </si>
  <si>
    <t>Aggregation</t>
  </si>
  <si>
    <t>CBI seed scope</t>
  </si>
  <si>
    <t>Single run: seed 2025</t>
  </si>
  <si>
    <t>Paper scope</t>
  </si>
  <si>
    <t>Three-seed mean: 2025, 2026, 2027</t>
  </si>
  <si>
    <t>Validation-selected epoch</t>
  </si>
  <si>
    <t>unknown</t>
  </si>
  <si>
    <t>Queue exit code</t>
  </si>
  <si>
    <t>1</t>
  </si>
  <si>
    <t>Queue status note</t>
  </si>
  <si>
    <t>Final report and per-item artifacts were written before the queue returned exit 1.</t>
  </si>
  <si>
    <t>Interpretation</t>
  </si>
  <si>
    <t>The paper-table ranking is indicative only; confirm CBI with seeds 2026 and 2027 before changing claims.</t>
  </si>
  <si>
    <t>Paper source</t>
  </si>
  <si>
    <t>paper_aaai27\main.tex:350-368</t>
  </si>
  <si>
    <t>CBI source</t>
  </si>
  <si>
    <t>outputs\cbi_faithful_single_seed2025\strict_item_cold_balanced_thr1_seed_2025\final_report_usim_feedback_fast3_content_delta_static.csv</t>
  </si>
  <si>
    <t>CBI training log</t>
  </si>
  <si>
    <t>background_logs\cbi_faithful_single_seed2025\training.log</t>
  </si>
  <si>
    <t>Seed-matched CKG-RL source</t>
  </si>
  <si>
    <t>outputs\significance_per_item_exports\mooccube\ckg_rl_full\strict_item_cold_balanced_thr1_seed_2025\per_item_full_cold_usim_feedback_fast3_content_delta_static.csv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</si>
</sst>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%"/>
  </numFmts>
  <fonts count="5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76" fontId="2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vertical="center" wrapText="1"/>
    </xf>
    <xf numFmtId="176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vertical="center" wrapText="1"/>
    </xf>
    <xf numFmtId="176" fontId="3" fillId="4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wrapText="1"/>
    </xf>
    <xf numFmtId="176" fontId="3" fillId="5" borderId="2" xfId="0" applyNumberFormat="1" applyFont="1" applyFill="1" applyBorder="1" applyAlignment="1">
      <alignment horizontal="right" vertical="center"/>
    </xf>
    <xf numFmtId="177" fontId="2" fillId="0" borderId="2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" customWidth="1"/>
    <col min="2" max="2" width="32" customWidth="1"/>
    <col min="3" max="6" width="20" customWidth="1"/>
  </cols>
  <sheetData>
    <row r="1" spans="1:6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s="2" t="s">
        <v>7</v>
      </c>
      <c r="C2" s="3">
        <v>0</v>
      </c>
      <c r="D2" s="3">
        <v>0</v>
      </c>
      <c r="E2" s="3">
        <v>0</v>
      </c>
      <c r="F2" s="3">
        <v>0</v>
      </c>
    </row>
    <row r="3" spans="1:6" x14ac:dyDescent="0.15">
      <c r="A3" s="2" t="s">
        <v>8</v>
      </c>
      <c r="B3" s="2" t="s">
        <v>7</v>
      </c>
      <c r="C3" s="3">
        <v>1.1299999999999999E-2</v>
      </c>
      <c r="D3" s="3">
        <v>2.4899999999999999E-2</v>
      </c>
      <c r="E3" s="3">
        <v>6.7999999999999996E-3</v>
      </c>
      <c r="F3" s="3">
        <v>1.11E-2</v>
      </c>
    </row>
    <row r="4" spans="1:6" x14ac:dyDescent="0.15">
      <c r="A4" s="2" t="s">
        <v>9</v>
      </c>
      <c r="B4" s="2" t="s">
        <v>7</v>
      </c>
      <c r="C4" s="3">
        <v>0.1166</v>
      </c>
      <c r="D4" s="3">
        <v>0.1658</v>
      </c>
      <c r="E4" s="3">
        <v>7.9100000000000004E-2</v>
      </c>
      <c r="F4" s="3">
        <v>9.5000000000000001E-2</v>
      </c>
    </row>
    <row r="5" spans="1:6" x14ac:dyDescent="0.15">
      <c r="A5" s="2" t="s">
        <v>10</v>
      </c>
      <c r="B5" s="2" t="s">
        <v>7</v>
      </c>
      <c r="C5" s="3">
        <v>8.3299999999999999E-2</v>
      </c>
      <c r="D5" s="3">
        <v>0.1173</v>
      </c>
      <c r="E5" s="3">
        <v>5.9299999999999999E-2</v>
      </c>
      <c r="F5" s="3">
        <v>7.0199999999999999E-2</v>
      </c>
    </row>
    <row r="6" spans="1:6" x14ac:dyDescent="0.15">
      <c r="A6" s="2" t="s">
        <v>11</v>
      </c>
      <c r="B6" s="2" t="s">
        <v>7</v>
      </c>
      <c r="C6" s="3">
        <v>0.14760000000000001</v>
      </c>
      <c r="D6" s="3">
        <v>0.20330000000000001</v>
      </c>
      <c r="E6" s="3">
        <v>0.1101</v>
      </c>
      <c r="F6" s="3">
        <v>0.12809999999999999</v>
      </c>
    </row>
    <row r="7" spans="1:6" x14ac:dyDescent="0.15">
      <c r="A7" s="2" t="s">
        <v>12</v>
      </c>
      <c r="B7" s="2" t="s">
        <v>7</v>
      </c>
      <c r="C7" s="3">
        <v>0.17330000000000001</v>
      </c>
      <c r="D7" s="3">
        <v>0.2258</v>
      </c>
      <c r="E7" s="3">
        <v>0.12130000000000001</v>
      </c>
      <c r="F7" s="3">
        <v>0.13819999999999999</v>
      </c>
    </row>
    <row r="8" spans="1:6" x14ac:dyDescent="0.15">
      <c r="A8" s="2" t="s">
        <v>13</v>
      </c>
      <c r="B8" s="2" t="s">
        <v>7</v>
      </c>
      <c r="C8" s="3">
        <v>9.74E-2</v>
      </c>
      <c r="D8" s="3">
        <v>0.1305</v>
      </c>
      <c r="E8" s="3">
        <v>7.6399999999999996E-2</v>
      </c>
      <c r="F8" s="3">
        <v>8.7099999999999997E-2</v>
      </c>
    </row>
    <row r="9" spans="1:6" x14ac:dyDescent="0.15">
      <c r="A9" s="4" t="s">
        <v>14</v>
      </c>
      <c r="B9" s="4" t="s">
        <v>7</v>
      </c>
      <c r="C9" s="5">
        <v>0.21210000000000001</v>
      </c>
      <c r="D9" s="5">
        <v>0.25890000000000002</v>
      </c>
      <c r="E9" s="5">
        <v>0.16950000000000001</v>
      </c>
      <c r="F9" s="5">
        <v>0.1845</v>
      </c>
    </row>
    <row r="10" spans="1:6" x14ac:dyDescent="0.15">
      <c r="A10" s="2" t="s">
        <v>15</v>
      </c>
      <c r="B10" s="2" t="s">
        <v>7</v>
      </c>
      <c r="C10" s="3">
        <v>2.41E-2</v>
      </c>
      <c r="D10" s="3">
        <v>5.1999999999999998E-2</v>
      </c>
      <c r="E10" s="3">
        <v>1.4500000000000001E-2</v>
      </c>
      <c r="F10" s="3">
        <v>2.3400000000000001E-2</v>
      </c>
    </row>
    <row r="11" spans="1:6" x14ac:dyDescent="0.15">
      <c r="A11" s="2" t="s">
        <v>16</v>
      </c>
      <c r="B11" s="2" t="s">
        <v>7</v>
      </c>
      <c r="C11" s="3">
        <v>3.7699999999999997E-2</v>
      </c>
      <c r="D11" s="3">
        <v>6.1400000000000003E-2</v>
      </c>
      <c r="E11" s="3">
        <v>2.4400000000000002E-2</v>
      </c>
      <c r="F11" s="3">
        <v>3.2000000000000001E-2</v>
      </c>
    </row>
    <row r="12" spans="1:6" x14ac:dyDescent="0.15">
      <c r="A12" s="2" t="s">
        <v>17</v>
      </c>
      <c r="B12" s="2" t="s">
        <v>7</v>
      </c>
      <c r="C12" s="3">
        <v>0.16309999999999999</v>
      </c>
      <c r="D12" s="3">
        <v>0.2306</v>
      </c>
      <c r="E12" s="3">
        <v>0.1198</v>
      </c>
      <c r="F12" s="3">
        <v>0.1416</v>
      </c>
    </row>
    <row r="13" spans="1:6" x14ac:dyDescent="0.15">
      <c r="A13" s="6" t="s">
        <v>18</v>
      </c>
      <c r="B13" s="6" t="s">
        <v>7</v>
      </c>
      <c r="C13" s="7">
        <v>0.24729999999999999</v>
      </c>
      <c r="D13" s="7">
        <v>0.2863</v>
      </c>
      <c r="E13" s="7">
        <v>0.19719999999999999</v>
      </c>
      <c r="F13" s="7">
        <v>0.20979999999999999</v>
      </c>
    </row>
    <row r="14" spans="1:6" x14ac:dyDescent="0.15">
      <c r="A14" s="8" t="s">
        <v>19</v>
      </c>
      <c r="B14" s="8" t="s">
        <v>20</v>
      </c>
      <c r="C14" s="9">
        <v>0.2671960365394867</v>
      </c>
      <c r="D14" s="9">
        <v>0.34708577627793658</v>
      </c>
      <c r="E14" s="9">
        <v>0.1992500602083728</v>
      </c>
      <c r="F14" s="9">
        <v>0.2250153918070929</v>
      </c>
    </row>
  </sheetData>
  <autoFilter ref="A1:F14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1" customWidth="1"/>
    <col min="2" max="2" width="20" customWidth="1"/>
    <col min="3" max="3" width="11" customWidth="1"/>
    <col min="4" max="4" width="16" customWidth="1"/>
    <col min="5" max="5" width="20" customWidth="1"/>
    <col min="6" max="6" width="33" customWidth="1"/>
  </cols>
  <sheetData>
    <row r="1" spans="1:6" ht="24" customHeight="1" x14ac:dyDescent="0.15">
      <c r="A1" s="1" t="s">
        <v>21</v>
      </c>
      <c r="B1" s="1" t="s">
        <v>19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15">
      <c r="A2" s="2" t="s">
        <v>2</v>
      </c>
      <c r="B2" s="3">
        <v>0.2671960365394867</v>
      </c>
      <c r="C2" s="3">
        <v>0.24729999999999999</v>
      </c>
      <c r="D2" s="3">
        <f t="shared" ref="D2:D9" si="0">B2-C2</f>
        <v>1.9896036539486711E-2</v>
      </c>
      <c r="E2" s="10">
        <f t="shared" ref="E2:E9" si="1">IF(C2=0,"",D2/C2)</f>
        <v>8.0453038978919172E-2</v>
      </c>
      <c r="F2" s="2" t="s">
        <v>26</v>
      </c>
    </row>
    <row r="3" spans="1:6" x14ac:dyDescent="0.15">
      <c r="A3" s="2" t="s">
        <v>3</v>
      </c>
      <c r="B3" s="3">
        <v>0.34708577627793658</v>
      </c>
      <c r="C3" s="3">
        <v>0.2863</v>
      </c>
      <c r="D3" s="3">
        <f t="shared" si="0"/>
        <v>6.0785776277936576E-2</v>
      </c>
      <c r="E3" s="10">
        <f t="shared" si="1"/>
        <v>0.21231497128165064</v>
      </c>
      <c r="F3" s="2" t="s">
        <v>26</v>
      </c>
    </row>
    <row r="4" spans="1:6" x14ac:dyDescent="0.15">
      <c r="A4" s="2" t="s">
        <v>4</v>
      </c>
      <c r="B4" s="3">
        <v>0.1992500602083728</v>
      </c>
      <c r="C4" s="3">
        <v>0.19719999999999999</v>
      </c>
      <c r="D4" s="3">
        <f t="shared" si="0"/>
        <v>2.0500602083728114E-3</v>
      </c>
      <c r="E4" s="10">
        <f t="shared" si="1"/>
        <v>1.0395842841647117E-2</v>
      </c>
      <c r="F4" s="2" t="s">
        <v>26</v>
      </c>
    </row>
    <row r="5" spans="1:6" x14ac:dyDescent="0.15">
      <c r="A5" s="2" t="s">
        <v>5</v>
      </c>
      <c r="B5" s="3">
        <v>0.2250153918070929</v>
      </c>
      <c r="C5" s="3">
        <v>0.20979999999999999</v>
      </c>
      <c r="D5" s="3">
        <f t="shared" si="0"/>
        <v>1.5215391807092915E-2</v>
      </c>
      <c r="E5" s="10">
        <f t="shared" si="1"/>
        <v>7.2523316525705039E-2</v>
      </c>
      <c r="F5" s="2" t="s">
        <v>26</v>
      </c>
    </row>
    <row r="6" spans="1:6" x14ac:dyDescent="0.15">
      <c r="A6" s="2" t="s">
        <v>2</v>
      </c>
      <c r="B6" s="3">
        <v>0.2671960365394867</v>
      </c>
      <c r="C6" s="3">
        <v>0.21210000000000001</v>
      </c>
      <c r="D6" s="3">
        <f t="shared" si="0"/>
        <v>5.5096036539486692E-2</v>
      </c>
      <c r="E6" s="10">
        <f t="shared" si="1"/>
        <v>0.25976443441530733</v>
      </c>
      <c r="F6" s="2" t="s">
        <v>27</v>
      </c>
    </row>
    <row r="7" spans="1:6" x14ac:dyDescent="0.15">
      <c r="A7" s="2" t="s">
        <v>3</v>
      </c>
      <c r="B7" s="3">
        <v>0.34708577627793658</v>
      </c>
      <c r="C7" s="3">
        <v>0.25890000000000002</v>
      </c>
      <c r="D7" s="3">
        <f t="shared" si="0"/>
        <v>8.8185776277936556E-2</v>
      </c>
      <c r="E7" s="10">
        <f t="shared" si="1"/>
        <v>0.34061713510211106</v>
      </c>
      <c r="F7" s="2" t="s">
        <v>27</v>
      </c>
    </row>
    <row r="8" spans="1:6" x14ac:dyDescent="0.15">
      <c r="A8" s="2" t="s">
        <v>4</v>
      </c>
      <c r="B8" s="3">
        <v>0.1992500602083728</v>
      </c>
      <c r="C8" s="3">
        <v>0.16950000000000001</v>
      </c>
      <c r="D8" s="3">
        <f t="shared" si="0"/>
        <v>2.9750060208372786E-2</v>
      </c>
      <c r="E8" s="10">
        <f t="shared" si="1"/>
        <v>0.17551657940042942</v>
      </c>
      <c r="F8" s="2" t="s">
        <v>27</v>
      </c>
    </row>
    <row r="9" spans="1:6" x14ac:dyDescent="0.15">
      <c r="A9" s="2" t="s">
        <v>5</v>
      </c>
      <c r="B9" s="3">
        <v>0.2250153918070929</v>
      </c>
      <c r="C9" s="3">
        <v>0.1845</v>
      </c>
      <c r="D9" s="3">
        <f t="shared" si="0"/>
        <v>4.0515391807092904E-2</v>
      </c>
      <c r="E9" s="10">
        <f t="shared" si="1"/>
        <v>0.21959561955063905</v>
      </c>
      <c r="F9" s="2" t="s">
        <v>27</v>
      </c>
    </row>
  </sheetData>
  <autoFilter ref="A1:F9" xr:uid="{00000000-0009-0000-0000-000001000000}"/>
  <phoneticPr fontId="4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1" customWidth="1"/>
    <col min="2" max="2" width="20" customWidth="1"/>
    <col min="3" max="3" width="21" customWidth="1"/>
    <col min="4" max="4" width="16" customWidth="1"/>
    <col min="5" max="5" width="20" customWidth="1"/>
    <col min="6" max="6" width="29" customWidth="1"/>
  </cols>
  <sheetData>
    <row r="1" spans="1:6" ht="24" customHeight="1" x14ac:dyDescent="0.15">
      <c r="A1" s="1" t="s">
        <v>21</v>
      </c>
      <c r="B1" s="1" t="s">
        <v>19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15">
      <c r="A2" s="2" t="s">
        <v>2</v>
      </c>
      <c r="B2" s="3">
        <v>0.2671960365394867</v>
      </c>
      <c r="C2" s="3">
        <v>0.2256731110696642</v>
      </c>
      <c r="D2" s="3">
        <f>B2-C2</f>
        <v>4.1522925469822503E-2</v>
      </c>
      <c r="E2" s="10">
        <f>IF(C2=0,"",D2/C2)</f>
        <v>0.18399589243489703</v>
      </c>
      <c r="F2" s="2" t="s">
        <v>28</v>
      </c>
    </row>
    <row r="3" spans="1:6" x14ac:dyDescent="0.15">
      <c r="A3" s="2" t="s">
        <v>3</v>
      </c>
      <c r="B3" s="3">
        <v>0.34708577627793658</v>
      </c>
      <c r="C3" s="3">
        <v>0.27321624805264139</v>
      </c>
      <c r="D3" s="3">
        <f>B3-C3</f>
        <v>7.3869528225295189E-2</v>
      </c>
      <c r="E3" s="10">
        <f>IF(C3=0,"",D3/C3)</f>
        <v>0.27037018754119824</v>
      </c>
      <c r="F3" s="2" t="s">
        <v>28</v>
      </c>
    </row>
    <row r="4" spans="1:6" x14ac:dyDescent="0.15">
      <c r="A4" s="2" t="s">
        <v>4</v>
      </c>
      <c r="B4" s="3">
        <v>0.1992500602083728</v>
      </c>
      <c r="C4" s="3">
        <v>0.17260326124680719</v>
      </c>
      <c r="D4" s="3">
        <f>B4-C4</f>
        <v>2.6646798961565604E-2</v>
      </c>
      <c r="E4" s="10">
        <f>IF(C4=0,"",D4/C4)</f>
        <v>0.15438178148594231</v>
      </c>
      <c r="F4" s="2" t="s">
        <v>28</v>
      </c>
    </row>
    <row r="5" spans="1:6" x14ac:dyDescent="0.15">
      <c r="A5" s="2" t="s">
        <v>5</v>
      </c>
      <c r="B5" s="3">
        <v>0.2250153918070929</v>
      </c>
      <c r="C5" s="3">
        <v>0.18800730284509651</v>
      </c>
      <c r="D5" s="3">
        <f>B5-C5</f>
        <v>3.7008088961996394E-2</v>
      </c>
      <c r="E5" s="10">
        <f>IF(C5=0,"",D5/C5)</f>
        <v>0.19684389064656813</v>
      </c>
      <c r="F5" s="2" t="s">
        <v>28</v>
      </c>
    </row>
  </sheetData>
  <autoFilter ref="A1:F5" xr:uid="{00000000-0009-0000-0000-000002000000}"/>
  <phoneticPr fontId="4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9" customWidth="1"/>
    <col min="2" max="2" width="11" customWidth="1"/>
    <col min="3" max="3" width="20" customWidth="1"/>
  </cols>
  <sheetData>
    <row r="1" spans="1:3" ht="24" customHeight="1" x14ac:dyDescent="0.15">
      <c r="A1" s="1" t="s">
        <v>29</v>
      </c>
      <c r="B1" s="1" t="s">
        <v>21</v>
      </c>
      <c r="C1" s="1" t="s">
        <v>30</v>
      </c>
    </row>
    <row r="2" spans="1:3" x14ac:dyDescent="0.15">
      <c r="A2" s="2" t="s">
        <v>31</v>
      </c>
      <c r="B2" s="2" t="s">
        <v>2</v>
      </c>
      <c r="C2" s="3">
        <v>0.2671960365394867</v>
      </c>
    </row>
    <row r="3" spans="1:3" x14ac:dyDescent="0.15">
      <c r="A3" s="2" t="s">
        <v>31</v>
      </c>
      <c r="B3" s="2" t="s">
        <v>3</v>
      </c>
      <c r="C3" s="3">
        <v>0.34708577627793658</v>
      </c>
    </row>
    <row r="4" spans="1:3" x14ac:dyDescent="0.15">
      <c r="A4" s="2" t="s">
        <v>31</v>
      </c>
      <c r="B4" s="2" t="s">
        <v>32</v>
      </c>
      <c r="C4" s="3">
        <v>0.43798375266899892</v>
      </c>
    </row>
    <row r="5" spans="1:3" x14ac:dyDescent="0.15">
      <c r="A5" s="2" t="s">
        <v>31</v>
      </c>
      <c r="B5" s="2" t="s">
        <v>4</v>
      </c>
      <c r="C5" s="3">
        <v>0.1992500602083728</v>
      </c>
    </row>
    <row r="6" spans="1:3" x14ac:dyDescent="0.15">
      <c r="A6" s="2" t="s">
        <v>31</v>
      </c>
      <c r="B6" s="2" t="s">
        <v>5</v>
      </c>
      <c r="C6" s="3">
        <v>0.2250153918070929</v>
      </c>
    </row>
    <row r="7" spans="1:3" x14ac:dyDescent="0.15">
      <c r="A7" s="2" t="s">
        <v>31</v>
      </c>
      <c r="B7" s="2" t="s">
        <v>33</v>
      </c>
      <c r="C7" s="3">
        <v>0.248040225426994</v>
      </c>
    </row>
    <row r="8" spans="1:3" x14ac:dyDescent="0.15">
      <c r="A8" s="2" t="s">
        <v>34</v>
      </c>
      <c r="B8" s="2" t="s">
        <v>2</v>
      </c>
      <c r="C8" s="3">
        <v>8.2733431511868794E-2</v>
      </c>
    </row>
    <row r="9" spans="1:3" x14ac:dyDescent="0.15">
      <c r="A9" s="2" t="s">
        <v>34</v>
      </c>
      <c r="B9" s="2" t="s">
        <v>3</v>
      </c>
      <c r="C9" s="3">
        <v>0.1246897944811193</v>
      </c>
    </row>
    <row r="10" spans="1:3" x14ac:dyDescent="0.15">
      <c r="A10" s="2" t="s">
        <v>34</v>
      </c>
      <c r="B10" s="2" t="s">
        <v>32</v>
      </c>
      <c r="C10" s="3">
        <v>0.1825601273476942</v>
      </c>
    </row>
    <row r="11" spans="1:3" x14ac:dyDescent="0.15">
      <c r="A11" s="2" t="s">
        <v>34</v>
      </c>
      <c r="B11" s="2" t="s">
        <v>4</v>
      </c>
      <c r="C11" s="3">
        <v>5.7388090700371201E-2</v>
      </c>
    </row>
    <row r="12" spans="1:3" x14ac:dyDescent="0.15">
      <c r="A12" s="2" t="s">
        <v>34</v>
      </c>
      <c r="B12" s="2" t="s">
        <v>5</v>
      </c>
      <c r="C12" s="3">
        <v>7.0806364969609001E-2</v>
      </c>
    </row>
    <row r="13" spans="1:3" x14ac:dyDescent="0.15">
      <c r="A13" s="2" t="s">
        <v>34</v>
      </c>
      <c r="B13" s="2" t="s">
        <v>33</v>
      </c>
      <c r="C13" s="3">
        <v>8.5242244661433195E-2</v>
      </c>
    </row>
  </sheetData>
  <autoFilter ref="A1:C13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8" customWidth="1"/>
    <col min="2" max="2" width="100" customWidth="1"/>
  </cols>
  <sheetData>
    <row r="1" spans="1:2" ht="24" customHeight="1" x14ac:dyDescent="0.15">
      <c r="A1" s="1" t="s">
        <v>35</v>
      </c>
      <c r="B1" s="1" t="s">
        <v>30</v>
      </c>
    </row>
    <row r="2" spans="1:2" x14ac:dyDescent="0.15">
      <c r="A2" s="2" t="s">
        <v>36</v>
      </c>
      <c r="B2" s="2" t="s">
        <v>37</v>
      </c>
    </row>
    <row r="3" spans="1:2" x14ac:dyDescent="0.15">
      <c r="A3" s="2" t="s">
        <v>38</v>
      </c>
      <c r="B3" s="2" t="s">
        <v>39</v>
      </c>
    </row>
    <row r="4" spans="1:2" x14ac:dyDescent="0.15">
      <c r="A4" s="2" t="s">
        <v>40</v>
      </c>
      <c r="B4" s="2" t="s">
        <v>31</v>
      </c>
    </row>
    <row r="5" spans="1:2" x14ac:dyDescent="0.15">
      <c r="A5" s="2" t="s">
        <v>41</v>
      </c>
      <c r="B5" s="2" t="s">
        <v>42</v>
      </c>
    </row>
    <row r="6" spans="1:2" x14ac:dyDescent="0.15">
      <c r="A6" s="2" t="s">
        <v>43</v>
      </c>
      <c r="B6" s="2" t="s">
        <v>44</v>
      </c>
    </row>
    <row r="7" spans="1:2" x14ac:dyDescent="0.15">
      <c r="A7" s="2" t="s">
        <v>45</v>
      </c>
      <c r="B7" s="2" t="s">
        <v>46</v>
      </c>
    </row>
    <row r="8" spans="1:2" x14ac:dyDescent="0.15">
      <c r="A8" s="2" t="s">
        <v>47</v>
      </c>
      <c r="B8" s="2" t="s">
        <v>48</v>
      </c>
    </row>
    <row r="9" spans="1:2" x14ac:dyDescent="0.15">
      <c r="A9" s="2" t="s">
        <v>49</v>
      </c>
      <c r="B9" s="2" t="s">
        <v>50</v>
      </c>
    </row>
    <row r="10" spans="1:2" x14ac:dyDescent="0.15">
      <c r="A10" s="2" t="s">
        <v>51</v>
      </c>
      <c r="B10" s="2" t="s">
        <v>52</v>
      </c>
    </row>
    <row r="11" spans="1:2" x14ac:dyDescent="0.15">
      <c r="A11" s="2" t="s">
        <v>53</v>
      </c>
      <c r="B11" s="2" t="s">
        <v>54</v>
      </c>
    </row>
    <row r="12" spans="1:2" ht="25.5" x14ac:dyDescent="0.15">
      <c r="A12" s="2" t="s">
        <v>55</v>
      </c>
      <c r="B12" s="2" t="s">
        <v>56</v>
      </c>
    </row>
    <row r="13" spans="1:2" x14ac:dyDescent="0.15">
      <c r="A13" s="2" t="s">
        <v>57</v>
      </c>
      <c r="B13" s="2" t="s">
        <v>58</v>
      </c>
    </row>
    <row r="14" spans="1:2" ht="25.5" x14ac:dyDescent="0.15">
      <c r="A14" s="2" t="s">
        <v>59</v>
      </c>
      <c r="B14" s="2" t="s">
        <v>60</v>
      </c>
    </row>
  </sheetData>
  <autoFilter ref="A1:B14" xr:uid="{00000000-0009-0000-0000-000004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Main_Comparison</vt:lpstr>
      <vt:lpstr>CBI_Deltas</vt:lpstr>
      <vt:lpstr>Seed_Matched</vt:lpstr>
      <vt:lpstr>Full_CBI_Metrics</vt:lpstr>
      <vt:lpstr>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curry q</cp:lastModifiedBy>
  <dcterms:created xsi:type="dcterms:W3CDTF">2026-07-16T12:46:27Z</dcterms:created>
  <dcterms:modified xsi:type="dcterms:W3CDTF">2026-07-16T12:47:52Z</dcterms:modified>
</cp:coreProperties>
</file>